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filterPrivacy="1" codeName="ThisWorkbook"/>
  <xr:revisionPtr revIDLastSave="0" documentId="13_ncr:1_{DA86612D-BAF5-5F49-B41C-B8D75C635873}" xr6:coauthVersionLast="47" xr6:coauthVersionMax="47" xr10:uidLastSave="{00000000-0000-0000-0000-000000000000}"/>
  <bookViews>
    <workbookView xWindow="-4100" yWindow="-21100" windowWidth="38400" windowHeight="21100"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H28" i="11" l="1"/>
  <c r="I5" i="11"/>
  <c r="I6" i="11" s="1"/>
  <c r="H41" i="11"/>
  <c r="H35" i="11"/>
  <c r="H34" i="11"/>
  <c r="H33" i="11"/>
  <c r="H32" i="11"/>
  <c r="H30" i="11"/>
  <c r="H27" i="11"/>
  <c r="H26" i="11"/>
  <c r="H19" i="11"/>
  <c r="H8" i="11"/>
  <c r="H9" i="11" l="1"/>
  <c r="E11" i="11"/>
  <c r="H31" i="11" l="1"/>
  <c r="H10" i="11"/>
  <c r="H29" i="11"/>
  <c r="H20" i="11"/>
  <c r="J5" i="11"/>
  <c r="K5" i="11" l="1"/>
  <c r="L5" i="11" l="1"/>
  <c r="M5" i="11" l="1"/>
  <c r="N5" i="11" l="1"/>
  <c r="O5" i="11" l="1"/>
  <c r="P5" i="11" l="1"/>
  <c r="P6" i="11" s="1"/>
  <c r="O6" i="11"/>
  <c r="N6" i="11"/>
  <c r="M6" i="11"/>
  <c r="L6" i="11"/>
  <c r="K6" i="11"/>
  <c r="J6" i="11"/>
  <c r="I4" i="11"/>
  <c r="H21" i="11" l="1"/>
  <c r="H11" i="11"/>
  <c r="H12" i="11"/>
  <c r="P4" i="11"/>
  <c r="Q5" i="11"/>
  <c r="R5" i="11" l="1"/>
  <c r="S5" i="11" l="1"/>
  <c r="T5" i="11" l="1"/>
  <c r="U5" i="11" l="1"/>
  <c r="V5" i="11" l="1"/>
  <c r="W5" i="11" l="1"/>
  <c r="V6" i="11"/>
  <c r="U6" i="11"/>
  <c r="T6" i="11"/>
  <c r="S6" i="11"/>
  <c r="R6" i="11"/>
  <c r="Q6" i="11"/>
  <c r="H23" i="11"/>
  <c r="H22" i="11"/>
  <c r="W6" i="11" l="1"/>
  <c r="X5" i="11"/>
  <c r="Y5" i="11" s="1"/>
  <c r="W4" i="11"/>
  <c r="Z5" i="11" l="1"/>
  <c r="AA5" i="11" l="1"/>
  <c r="AB5" i="11" l="1"/>
  <c r="AC5" i="11" l="1"/>
  <c r="AD5" i="11" l="1"/>
  <c r="AC6" i="11"/>
  <c r="AB6" i="11"/>
  <c r="AA6" i="11"/>
  <c r="Z6" i="11"/>
  <c r="Y6" i="11"/>
  <c r="X6" i="11"/>
  <c r="AD6" i="11" l="1"/>
  <c r="AE5" i="11"/>
  <c r="AF5" i="11" s="1"/>
  <c r="AG5" i="11" l="1"/>
  <c r="AH5" i="11" l="1"/>
  <c r="AI5" i="11" l="1"/>
  <c r="AJ5" i="11" l="1"/>
  <c r="AJ6" i="11" s="1"/>
  <c r="AI6" i="11"/>
  <c r="AH6" i="11"/>
  <c r="AG6" i="11"/>
  <c r="AF6" i="11"/>
  <c r="AE6" i="11"/>
  <c r="AD4" i="11"/>
  <c r="AK5" i="11" l="1"/>
  <c r="AL5" i="11" l="1"/>
  <c r="AM5" i="11" l="1"/>
  <c r="AN5" i="11" l="1"/>
  <c r="AO5" i="11" l="1"/>
  <c r="AP5" i="11" l="1"/>
  <c r="AQ5" i="11" l="1"/>
  <c r="AP6" i="11"/>
  <c r="AO6" i="11"/>
  <c r="AN6" i="11"/>
  <c r="AM6" i="11"/>
  <c r="AL6" i="11"/>
  <c r="AK6" i="11"/>
  <c r="AQ6" i="11" l="1"/>
  <c r="AR5" i="11"/>
  <c r="AK4" i="11"/>
  <c r="AR6" i="11" l="1"/>
  <c r="AS5" i="11"/>
  <c r="AR4" i="11"/>
  <c r="AS6" i="11" l="1"/>
  <c r="AT5" i="11"/>
  <c r="AT6" i="11" l="1"/>
  <c r="AU5" i="11"/>
  <c r="AU6" i="11" l="1"/>
  <c r="AV5" i="11"/>
  <c r="AV6" i="11" l="1"/>
  <c r="AW5" i="11"/>
  <c r="AW6" i="11" l="1"/>
  <c r="AX5" i="11"/>
  <c r="AX6" i="11" l="1"/>
  <c r="AY5" i="11"/>
  <c r="AZ5" i="11" l="1"/>
  <c r="AY6" i="11"/>
  <c r="AY4" i="11"/>
  <c r="BA5" i="11" l="1"/>
  <c r="AZ6" i="11"/>
  <c r="BB5" i="11" l="1"/>
  <c r="BA6" i="11"/>
  <c r="BC5" i="11" l="1"/>
  <c r="BB6" i="11"/>
  <c r="BD5" i="11" l="1"/>
  <c r="BC6" i="11"/>
  <c r="BE5" i="11" l="1"/>
  <c r="BD6" i="11"/>
  <c r="BF5" i="11" l="1"/>
  <c r="BE6" i="11"/>
  <c r="BG5" i="11" l="1"/>
  <c r="BF4" i="11"/>
  <c r="BF6" i="11"/>
  <c r="BH5" i="11" l="1"/>
  <c r="BG6" i="11"/>
  <c r="BI5" i="11" l="1"/>
  <c r="BH6" i="11"/>
  <c r="BJ5" i="11" l="1"/>
  <c r="BI6" i="11"/>
  <c r="BK5" i="11" l="1"/>
  <c r="BJ6" i="11"/>
  <c r="BL5" i="11" l="1"/>
  <c r="BK6" i="11"/>
  <c r="BL6" i="11" l="1"/>
</calcChain>
</file>

<file path=xl/sharedStrings.xml><?xml version="1.0" encoding="utf-8"?>
<sst xmlns="http://schemas.openxmlformats.org/spreadsheetml/2006/main" count="93" uniqueCount="75">
  <si>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</si>
  <si>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シンプル ガント チャート (Vertex42.com)</t>
  </si>
  <si>
    <t>セル B2 には会社の名前を入力します。</t>
  </si>
  <si>
    <t>https://www.vertex42.com/ExcelTemplates/simple-gantt-chart.html</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</si>
  <si>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</si>
  <si>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</si>
  <si>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</si>
  <si>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</si>
  <si>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</si>
  <si>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</si>
  <si>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2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</si>
  <si>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</si>
  <si>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</si>
  <si>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</si>
  <si>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</si>
  <si>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</si>
  <si>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</si>
  <si>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</si>
  <si>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</si>
  <si>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</si>
  <si>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</si>
  <si>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</si>
  <si>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</si>
  <si>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</si>
  <si>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</si>
  <si>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</si>
  <si>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</si>
  <si>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</si>
  <si>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</si>
  <si>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</si>
  <si>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</si>
  <si>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</si>
  <si>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</si>
  <si>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</si>
  <si>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</si>
  <si>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小型ロケット向け衛星航法装置の開発</t>
    <rPh sb="0" eb="2">
      <t xml:space="preserve">コガタ </t>
    </rPh>
    <rPh sb="8" eb="14">
      <t xml:space="preserve">エイセイコウホウソウチ </t>
    </rPh>
    <rPh sb="15" eb="17">
      <t xml:space="preserve">カイハツ </t>
    </rPh>
    <phoneticPr fontId="29"/>
  </si>
  <si>
    <t>東京科学大学</t>
    <rPh sb="0" eb="6">
      <t xml:space="preserve">トウキョウカガクダイガク </t>
    </rPh>
    <phoneticPr fontId="29"/>
  </si>
  <si>
    <t>プロジェクトの開始:</t>
    <phoneticPr fontId="29"/>
  </si>
  <si>
    <t>Pythonを用いたアルゴリズム検証</t>
    <rPh sb="7" eb="8">
      <t xml:space="preserve">モチイタ </t>
    </rPh>
    <rPh sb="16" eb="18">
      <t xml:space="preserve">ケンショウ </t>
    </rPh>
    <phoneticPr fontId="29"/>
  </si>
  <si>
    <t>この行の上に新しい行を挿入する</t>
    <phoneticPr fontId="29"/>
  </si>
  <si>
    <t>デジタルロジックの実装と検証</t>
    <rPh sb="9" eb="11">
      <t xml:space="preserve">ジッソウ </t>
    </rPh>
    <rPh sb="12" eb="14">
      <t xml:space="preserve">ケンショウ </t>
    </rPh>
    <phoneticPr fontId="29"/>
  </si>
  <si>
    <t>FPGAによるロジック検証</t>
    <rPh sb="11" eb="13">
      <t xml:space="preserve">ケンショウ </t>
    </rPh>
    <phoneticPr fontId="29"/>
  </si>
  <si>
    <t>テープアウト用GDSデータの生成</t>
    <rPh sb="14" eb="16">
      <t xml:space="preserve">セイセイ </t>
    </rPh>
    <phoneticPr fontId="29"/>
  </si>
  <si>
    <t>ベースバンドプロセッサGDSの生成</t>
    <phoneticPr fontId="29"/>
  </si>
  <si>
    <t>SRAMのインプリメンテーション</t>
    <phoneticPr fontId="29"/>
  </si>
  <si>
    <t>RFフロンエンドプロセッサTEGの設計</t>
    <rPh sb="17" eb="19">
      <t xml:space="preserve">セッケイ </t>
    </rPh>
    <phoneticPr fontId="29"/>
  </si>
  <si>
    <t>トップレイアウトの作成</t>
    <rPh sb="9" eb="11">
      <t xml:space="preserve">サクセイ </t>
    </rPh>
    <phoneticPr fontId="29"/>
  </si>
  <si>
    <t>仕様策定</t>
    <rPh sb="0" eb="4">
      <t xml:space="preserve">シヨウサクテイ </t>
    </rPh>
    <phoneticPr fontId="29"/>
  </si>
  <si>
    <t>Pythonを用いたGPS信号検出アルゴリズムの検証</t>
    <rPh sb="7" eb="8">
      <t xml:space="preserve">モチイタ </t>
    </rPh>
    <rPh sb="13" eb="17">
      <t xml:space="preserve">シンゴウケンシュツ </t>
    </rPh>
    <rPh sb="24" eb="26">
      <t xml:space="preserve">ケンショウ </t>
    </rPh>
    <phoneticPr fontId="29"/>
  </si>
  <si>
    <t>Pythonを用いたGPS信号トラッキングアルゴリズムの検証</t>
    <rPh sb="6" eb="7">
      <t>ヲ</t>
    </rPh>
    <rPh sb="10" eb="13">
      <t>GPS</t>
    </rPh>
    <rPh sb="13" eb="14">
      <t xml:space="preserve">シンゴウ </t>
    </rPh>
    <rPh sb="28" eb="30">
      <t xml:space="preserve">ケンショウ </t>
    </rPh>
    <phoneticPr fontId="29"/>
  </si>
  <si>
    <t>Pythonを用いた広報メッセージ復調アルゴリズムの検証</t>
    <rPh sb="7" eb="8">
      <t xml:space="preserve">モチイタ </t>
    </rPh>
    <rPh sb="10" eb="12">
      <t xml:space="preserve">コウホウメッセージ </t>
    </rPh>
    <rPh sb="17" eb="19">
      <t xml:space="preserve">フクチョウ </t>
    </rPh>
    <rPh sb="26" eb="28">
      <t xml:space="preserve">ケンショウ </t>
    </rPh>
    <phoneticPr fontId="29"/>
  </si>
  <si>
    <t>Pythonを用いた測位演算の検証</t>
    <rPh sb="7" eb="8">
      <t xml:space="preserve">モチイタ </t>
    </rPh>
    <rPh sb="10" eb="14">
      <t xml:space="preserve">ソクイエンザン </t>
    </rPh>
    <rPh sb="15" eb="17">
      <t xml:space="preserve">ケンショウ </t>
    </rPh>
    <phoneticPr fontId="29"/>
  </si>
  <si>
    <t>福岡政大、西尾和俊</t>
    <rPh sb="0" eb="4">
      <t xml:space="preserve">フクオカマサヒロ </t>
    </rPh>
    <rPh sb="5" eb="9">
      <t xml:space="preserve">ニシオカズトシ </t>
    </rPh>
    <phoneticPr fontId="29"/>
  </si>
  <si>
    <t>インターフェース仕様</t>
    <rPh sb="8" eb="10">
      <t xml:space="preserve">シヨウ </t>
    </rPh>
    <phoneticPr fontId="29"/>
  </si>
  <si>
    <t>モジュール仕様</t>
    <phoneticPr fontId="29"/>
  </si>
  <si>
    <t>クロック・リセット仕様</t>
    <rPh sb="9" eb="11">
      <t xml:space="preserve">シヨウ </t>
    </rPh>
    <phoneticPr fontId="29"/>
  </si>
  <si>
    <t>レジスタ定義・メモリマップ作成</t>
    <rPh sb="13" eb="15">
      <t xml:space="preserve">サクセイ </t>
    </rPh>
    <phoneticPr fontId="29"/>
  </si>
  <si>
    <t>フロアプラン</t>
    <phoneticPr fontId="29"/>
  </si>
  <si>
    <t>GPS信号トラッキングモジュールの作成</t>
    <rPh sb="3" eb="5">
      <t xml:space="preserve">シンゴウ </t>
    </rPh>
    <rPh sb="17" eb="19">
      <t xml:space="preserve">サクセイ </t>
    </rPh>
    <phoneticPr fontId="29"/>
  </si>
  <si>
    <t>航法メッセージ復調モジュールの作成</t>
    <rPh sb="0" eb="2">
      <t xml:space="preserve">コウホウ </t>
    </rPh>
    <rPh sb="7" eb="9">
      <t xml:space="preserve">フクチョウ </t>
    </rPh>
    <phoneticPr fontId="29"/>
  </si>
  <si>
    <t>GPS衛星検出ロジックの作成</t>
    <rPh sb="3" eb="5">
      <t xml:space="preserve">エイセイ </t>
    </rPh>
    <rPh sb="5" eb="7">
      <t xml:space="preserve">ケンシュツ </t>
    </rPh>
    <rPh sb="12" eb="14">
      <t xml:space="preserve">サクセイ </t>
    </rPh>
    <phoneticPr fontId="29"/>
  </si>
  <si>
    <t>衛星ディスパッチャの作成</t>
    <rPh sb="0" eb="2">
      <t xml:space="preserve">エイセイディスパッチャ </t>
    </rPh>
    <rPh sb="10" eb="12">
      <t xml:space="preserve">サクセイ </t>
    </rPh>
    <phoneticPr fontId="29"/>
  </si>
  <si>
    <t>福岡</t>
    <rPh sb="0" eb="2">
      <t xml:space="preserve">フクオカ </t>
    </rPh>
    <phoneticPr fontId="29"/>
  </si>
  <si>
    <t>福岡</t>
    <rPh sb="0" eb="1">
      <t xml:space="preserve">フクオカ </t>
    </rPh>
    <phoneticPr fontId="29"/>
  </si>
  <si>
    <t>西尾</t>
    <rPh sb="0" eb="2">
      <t xml:space="preserve">ニシオ </t>
    </rPh>
    <phoneticPr fontId="29"/>
  </si>
  <si>
    <t>西尾</t>
    <rPh sb="0" eb="1">
      <t xml:space="preserve">ニシオ </t>
    </rPh>
    <phoneticPr fontId="29"/>
  </si>
  <si>
    <t>移動状態の疑似信号を用いたSDRによる検証</t>
    <rPh sb="3" eb="6">
      <t>ニヨル</t>
    </rPh>
    <rPh sb="6" eb="10">
      <t xml:space="preserve">イドウジョウタイ </t>
    </rPh>
    <rPh sb="11" eb="13">
      <t xml:space="preserve">ギジ </t>
    </rPh>
    <rPh sb="16" eb="17">
      <t xml:space="preserve">モチイタ </t>
    </rPh>
    <rPh sb="19" eb="21">
      <t xml:space="preserve">ケンショウ </t>
    </rPh>
    <phoneticPr fontId="29"/>
  </si>
  <si>
    <t>静止状態の疑似信号を用いたSDRによる検証</t>
    <rPh sb="6" eb="10">
      <t xml:space="preserve">セイシジョウタイ </t>
    </rPh>
    <rPh sb="11" eb="15">
      <t xml:space="preserve">ギジシンゴウ </t>
    </rPh>
    <rPh sb="16" eb="17">
      <t xml:space="preserve">モチイタ </t>
    </rPh>
    <rPh sb="19" eb="21">
      <t xml:space="preserve">ケンショウ </t>
    </rPh>
    <phoneticPr fontId="29"/>
  </si>
  <si>
    <t>実信号を用いた検証</t>
    <rPh sb="0" eb="3">
      <t xml:space="preserve">ジツシンゴウ </t>
    </rPh>
    <rPh sb="4" eb="5">
      <t xml:space="preserve">モチイタケンショウ </t>
    </rPh>
    <phoneticPr fontId="29"/>
  </si>
  <si>
    <t>シンプル ガント チャートの使用方法</t>
    <phoneticPr fontId="29"/>
  </si>
  <si>
    <t>測位演算プログラムの作成</t>
    <rPh sb="0" eb="4">
      <t xml:space="preserve">ソクイエンザン </t>
    </rPh>
    <rPh sb="10" eb="12">
      <t xml:space="preserve">サクセイ </t>
    </rPh>
    <phoneticPr fontId="29"/>
  </si>
  <si>
    <t>福岡・西尾</t>
    <rPh sb="0" eb="2">
      <t xml:space="preserve">フクオカ </t>
    </rPh>
    <rPh sb="3" eb="5">
      <t xml:space="preserve">ニシオ </t>
    </rPh>
    <phoneticPr fontId="29"/>
  </si>
  <si>
    <t>福岡・西尾</t>
    <rPh sb="0" eb="2">
      <t xml:space="preserve">フクオカ </t>
    </rPh>
    <rPh sb="2" eb="3">
      <t>・</t>
    </rPh>
    <rPh sb="3" eb="4">
      <t xml:space="preserve">ニシオ </t>
    </rPh>
    <phoneticPr fontId="29"/>
  </si>
  <si>
    <t>福岡・西尾</t>
    <rPh sb="0" eb="2">
      <t xml:space="preserve">フクオカ </t>
    </rPh>
    <phoneticPr fontId="29"/>
  </si>
  <si>
    <t>仮合成と回路規模の確認</t>
    <rPh sb="0" eb="3">
      <t xml:space="preserve">カリゴウセイ </t>
    </rPh>
    <rPh sb="4" eb="6">
      <t xml:space="preserve">カイロ </t>
    </rPh>
    <rPh sb="6" eb="8">
      <t xml:space="preserve">キボ </t>
    </rPh>
    <rPh sb="9" eb="11">
      <t xml:space="preserve">カクニｎ </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</si>
</sst>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 numFmtId="181" formatCode="yyyy/m/d;@"/>
  </numFmts>
  <fonts count="40">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8" tint="0.7999816888943144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0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0" borderId="2" xfId="10">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0" fontId="1" fillId="45" borderId="2" xfId="11" applyFill="1">
      <alignment horizontal="center" vertical="center"/>
    </xf>
    <xf numFmtId="9" fontId="25" fillId="45" borderId="2" xfId="2" applyFont="1" applyFill="1" applyBorder="1" applyAlignment="1">
      <alignment horizontal="center" vertical="center"/>
    </xf>
    <xf numFmtId="0" fontId="17" fillId="45" borderId="2" xfId="0" applyFont="1" applyFill="1" applyBorder="1" applyAlignment="1">
      <alignment horizontal="left" vertical="center" indent="1"/>
    </xf>
    <xf numFmtId="181" fontId="1" fillId="3" borderId="2" xfId="10" applyNumberFormat="1" applyFill="1">
      <alignment horizontal="center" vertical="center"/>
    </xf>
    <xf numFmtId="181" fontId="1" fillId="45" borderId="2" xfId="10" applyNumberFormat="1" applyFill="1">
      <alignment horizontal="center" vertical="center"/>
    </xf>
    <xf numFmtId="181" fontId="0" fillId="9" borderId="2" xfId="0" applyNumberFormat="1" applyFill="1" applyBorder="1" applyAlignment="1">
      <alignment horizontal="center" vertical="center"/>
    </xf>
    <xf numFmtId="181" fontId="25" fillId="9" borderId="2" xfId="0" applyNumberFormat="1" applyFont="1" applyFill="1" applyBorder="1" applyAlignment="1">
      <alignment horizontal="center" vertical="center"/>
    </xf>
    <xf numFmtId="181" fontId="1" fillId="4" borderId="2" xfId="10" applyNumberFormat="1" applyFill="1">
      <alignment horizontal="center" vertical="center"/>
    </xf>
    <xf numFmtId="181" fontId="0" fillId="6" borderId="2" xfId="0" applyNumberFormat="1" applyFill="1" applyBorder="1" applyAlignment="1">
      <alignment horizontal="center" vertical="center"/>
    </xf>
    <xf numFmtId="181" fontId="25" fillId="6" borderId="2" xfId="0" applyNumberFormat="1" applyFont="1" applyFill="1" applyBorder="1" applyAlignment="1">
      <alignment horizontal="center" vertical="center"/>
    </xf>
    <xf numFmtId="181" fontId="1" fillId="11" borderId="2" xfId="10" applyNumberFormat="1" applyFill="1">
      <alignment horizontal="center" vertical="center"/>
    </xf>
    <xf numFmtId="181" fontId="0" fillId="5" borderId="2" xfId="0" applyNumberFormat="1" applyFill="1" applyBorder="1" applyAlignment="1">
      <alignment horizontal="center" vertical="center"/>
    </xf>
    <xf numFmtId="181" fontId="25" fillId="5" borderId="2" xfId="0" applyNumberFormat="1" applyFont="1" applyFill="1" applyBorder="1" applyAlignment="1">
      <alignment horizontal="center" vertical="center"/>
    </xf>
    <xf numFmtId="181" fontId="1" fillId="10" borderId="2" xfId="10" applyNumberFormat="1" applyFill="1">
      <alignment horizontal="center" vertical="center"/>
    </xf>
    <xf numFmtId="0" fontId="1" fillId="46" borderId="2" xfId="12" applyFill="1">
      <alignment horizontal="left" vertical="center" indent="2"/>
    </xf>
    <xf numFmtId="0" fontId="1" fillId="46" borderId="2" xfId="11" applyFill="1">
      <alignment horizontal="center" vertical="center"/>
    </xf>
    <xf numFmtId="9" fontId="25" fillId="46" borderId="2" xfId="2" applyFont="1" applyFill="1" applyBorder="1" applyAlignment="1">
      <alignment horizontal="center" vertical="center"/>
    </xf>
    <xf numFmtId="181" fontId="1" fillId="46" borderId="2" xfId="10" applyNumberFormat="1" applyFill="1">
      <alignment horizontal="center" vertical="center"/>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79" fontId="1" fillId="0" borderId="3" xfId="9">
      <alignment horizontal="center" vertical="center"/>
    </xf>
    <xf numFmtId="0" fontId="1" fillId="0" borderId="0" xfId="8">
      <alignment horizontal="right" indent="1"/>
    </xf>
    <xf numFmtId="0" fontId="1" fillId="0" borderId="7" xfId="8" applyBorder="1">
      <alignment horizontal="right" indent="1"/>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4"/>
  <sheetViews>
    <sheetView showGridLines="0" tabSelected="1" showRuler="0" zoomScaleNormal="100" zoomScalePageLayoutView="70" workbookViewId="0">
      <pane ySplit="6" topLeftCell="A8" activePane="bottomLeft" state="frozen"/>
      <selection pane="bottomLeft" activeCell="D11" sqref="D11"/>
    </sheetView>
  </sheetViews>
  <sheetFormatPr baseColWidth="10" defaultColWidth="8.7109375" defaultRowHeight="30" customHeight="1"/>
  <cols>
    <col min="1" max="1" width="2.5703125" style="8" customWidth="1"/>
    <col min="2" max="2" width="45.28515625" customWidth="1"/>
    <col min="3" max="3" width="30.5703125" customWidth="1"/>
    <col min="4" max="4" width="10.5703125" customWidth="1"/>
    <col min="5" max="5" width="10.28515625" style="2" customWidth="1"/>
    <col min="6" max="6" width="10.28515625" customWidth="1"/>
    <col min="7" max="7" width="2.5703125" customWidth="1"/>
    <col min="8" max="8" width="6" hidden="1" customWidth="1"/>
    <col min="9" max="64" width="2.42578125" customWidth="1"/>
    <col min="66" max="68" width="7.28515625"/>
    <col min="69" max="70" width="8.42578125"/>
  </cols>
  <sheetData>
    <row r="1" spans="1:64" ht="30" customHeight="1">
      <c r="A1" s="9" t="s">
        <v>0</v>
      </c>
      <c r="B1" s="11" t="s">
        <v>35</v>
      </c>
      <c r="C1" s="29"/>
      <c r="D1" s="30"/>
      <c r="E1" s="31"/>
      <c r="F1" s="32"/>
      <c r="H1" s="30"/>
      <c r="I1" s="33" t="s">
        <v>1</v>
      </c>
    </row>
    <row r="2" spans="1:64" ht="30" customHeight="1">
      <c r="A2" s="8" t="s">
        <v>2</v>
      </c>
      <c r="B2" s="12" t="s">
        <v>36</v>
      </c>
      <c r="I2" s="34" t="s">
        <v>3</v>
      </c>
    </row>
    <row r="3" spans="1:64" ht="30" customHeight="1">
      <c r="A3" s="8" t="s">
        <v>4</v>
      </c>
      <c r="B3" s="13" t="s">
        <v>52</v>
      </c>
      <c r="C3" s="101" t="s">
        <v>37</v>
      </c>
      <c r="D3" s="102"/>
      <c r="E3" s="100">
        <v>46219</v>
      </c>
      <c r="F3" s="100"/>
    </row>
    <row r="4" spans="1:64" ht="30" customHeight="1">
      <c r="A4" s="9" t="s">
        <v>5</v>
      </c>
      <c r="C4" s="101" t="s">
        <v>6</v>
      </c>
      <c r="D4" s="102"/>
      <c r="E4" s="4">
        <v>1</v>
      </c>
      <c r="I4" s="97">
        <f>I5</f>
        <v>46216</v>
      </c>
      <c r="J4" s="98"/>
      <c r="K4" s="98"/>
      <c r="L4" s="98"/>
      <c r="M4" s="98"/>
      <c r="N4" s="98"/>
      <c r="O4" s="99"/>
      <c r="P4" s="97">
        <f>P5</f>
        <v>46223</v>
      </c>
      <c r="Q4" s="98"/>
      <c r="R4" s="98"/>
      <c r="S4" s="98"/>
      <c r="T4" s="98"/>
      <c r="U4" s="98"/>
      <c r="V4" s="99"/>
      <c r="W4" s="97">
        <f>W5</f>
        <v>46230</v>
      </c>
      <c r="X4" s="98"/>
      <c r="Y4" s="98"/>
      <c r="Z4" s="98"/>
      <c r="AA4" s="98"/>
      <c r="AB4" s="98"/>
      <c r="AC4" s="99"/>
      <c r="AD4" s="97">
        <f>AD5</f>
        <v>46237</v>
      </c>
      <c r="AE4" s="98"/>
      <c r="AF4" s="98"/>
      <c r="AG4" s="98"/>
      <c r="AH4" s="98"/>
      <c r="AI4" s="98"/>
      <c r="AJ4" s="99"/>
      <c r="AK4" s="97">
        <f>AK5</f>
        <v>46244</v>
      </c>
      <c r="AL4" s="98"/>
      <c r="AM4" s="98"/>
      <c r="AN4" s="98"/>
      <c r="AO4" s="98"/>
      <c r="AP4" s="98"/>
      <c r="AQ4" s="99"/>
      <c r="AR4" s="97">
        <f>AR5</f>
        <v>46251</v>
      </c>
      <c r="AS4" s="98"/>
      <c r="AT4" s="98"/>
      <c r="AU4" s="98"/>
      <c r="AV4" s="98"/>
      <c r="AW4" s="98"/>
      <c r="AX4" s="99"/>
      <c r="AY4" s="97">
        <f>AY5</f>
        <v>46258</v>
      </c>
      <c r="AZ4" s="98"/>
      <c r="BA4" s="98"/>
      <c r="BB4" s="98"/>
      <c r="BC4" s="98"/>
      <c r="BD4" s="98"/>
      <c r="BE4" s="99"/>
      <c r="BF4" s="97">
        <f>BF5</f>
        <v>46265</v>
      </c>
      <c r="BG4" s="98"/>
      <c r="BH4" s="98"/>
      <c r="BI4" s="98"/>
      <c r="BJ4" s="98"/>
      <c r="BK4" s="98"/>
      <c r="BL4" s="99"/>
    </row>
    <row r="5" spans="1:64" ht="15" customHeight="1">
      <c r="A5" s="9" t="s">
        <v>7</v>
      </c>
      <c r="B5" s="28"/>
      <c r="C5" s="28"/>
      <c r="D5" s="28"/>
      <c r="E5" s="28"/>
      <c r="F5" s="28"/>
      <c r="G5" s="28"/>
      <c r="I5" s="76">
        <f>プロジェクトの開始-WEEKDAY(プロジェクトの開始,1)+2+7*(週表示-1)</f>
        <v>46216</v>
      </c>
      <c r="J5" s="77">
        <f>I5+1</f>
        <v>46217</v>
      </c>
      <c r="K5" s="77">
        <f t="shared" ref="K5:AX5" si="0">J5+1</f>
        <v>46218</v>
      </c>
      <c r="L5" s="77">
        <f t="shared" si="0"/>
        <v>46219</v>
      </c>
      <c r="M5" s="77">
        <f t="shared" si="0"/>
        <v>46220</v>
      </c>
      <c r="N5" s="77">
        <f t="shared" si="0"/>
        <v>46221</v>
      </c>
      <c r="O5" s="78">
        <f t="shared" si="0"/>
        <v>46222</v>
      </c>
      <c r="P5" s="76">
        <f>O5+1</f>
        <v>46223</v>
      </c>
      <c r="Q5" s="77">
        <f>P5+1</f>
        <v>46224</v>
      </c>
      <c r="R5" s="77">
        <f t="shared" si="0"/>
        <v>46225</v>
      </c>
      <c r="S5" s="77">
        <f t="shared" si="0"/>
        <v>46226</v>
      </c>
      <c r="T5" s="77">
        <f t="shared" si="0"/>
        <v>46227</v>
      </c>
      <c r="U5" s="77">
        <f t="shared" si="0"/>
        <v>46228</v>
      </c>
      <c r="V5" s="78">
        <f t="shared" si="0"/>
        <v>46229</v>
      </c>
      <c r="W5" s="76">
        <f>V5+1</f>
        <v>46230</v>
      </c>
      <c r="X5" s="77">
        <f>W5+1</f>
        <v>46231</v>
      </c>
      <c r="Y5" s="77">
        <f t="shared" si="0"/>
        <v>46232</v>
      </c>
      <c r="Z5" s="77">
        <f t="shared" si="0"/>
        <v>46233</v>
      </c>
      <c r="AA5" s="77">
        <f t="shared" si="0"/>
        <v>46234</v>
      </c>
      <c r="AB5" s="77">
        <f t="shared" si="0"/>
        <v>46235</v>
      </c>
      <c r="AC5" s="78">
        <f t="shared" si="0"/>
        <v>46236</v>
      </c>
      <c r="AD5" s="76">
        <f>AC5+1</f>
        <v>46237</v>
      </c>
      <c r="AE5" s="77">
        <f>AD5+1</f>
        <v>46238</v>
      </c>
      <c r="AF5" s="77">
        <f t="shared" si="0"/>
        <v>46239</v>
      </c>
      <c r="AG5" s="77">
        <f t="shared" si="0"/>
        <v>46240</v>
      </c>
      <c r="AH5" s="77">
        <f t="shared" si="0"/>
        <v>46241</v>
      </c>
      <c r="AI5" s="77">
        <f t="shared" si="0"/>
        <v>46242</v>
      </c>
      <c r="AJ5" s="78">
        <f t="shared" si="0"/>
        <v>46243</v>
      </c>
      <c r="AK5" s="76">
        <f>AJ5+1</f>
        <v>46244</v>
      </c>
      <c r="AL5" s="77">
        <f>AK5+1</f>
        <v>46245</v>
      </c>
      <c r="AM5" s="77">
        <f t="shared" si="0"/>
        <v>46246</v>
      </c>
      <c r="AN5" s="77">
        <f t="shared" si="0"/>
        <v>46247</v>
      </c>
      <c r="AO5" s="77">
        <f t="shared" si="0"/>
        <v>46248</v>
      </c>
      <c r="AP5" s="77">
        <f t="shared" si="0"/>
        <v>46249</v>
      </c>
      <c r="AQ5" s="78">
        <f t="shared" si="0"/>
        <v>46250</v>
      </c>
      <c r="AR5" s="76">
        <f>AQ5+1</f>
        <v>46251</v>
      </c>
      <c r="AS5" s="77">
        <f>AR5+1</f>
        <v>46252</v>
      </c>
      <c r="AT5" s="77">
        <f t="shared" si="0"/>
        <v>46253</v>
      </c>
      <c r="AU5" s="77">
        <f t="shared" si="0"/>
        <v>46254</v>
      </c>
      <c r="AV5" s="77">
        <f t="shared" si="0"/>
        <v>46255</v>
      </c>
      <c r="AW5" s="77">
        <f t="shared" si="0"/>
        <v>46256</v>
      </c>
      <c r="AX5" s="78">
        <f t="shared" si="0"/>
        <v>46257</v>
      </c>
      <c r="AY5" s="76">
        <f>AX5+1</f>
        <v>46258</v>
      </c>
      <c r="AZ5" s="77">
        <f>AY5+1</f>
        <v>46259</v>
      </c>
      <c r="BA5" s="77">
        <f t="shared" ref="BA5:BE5" si="1">AZ5+1</f>
        <v>46260</v>
      </c>
      <c r="BB5" s="77">
        <f t="shared" si="1"/>
        <v>46261</v>
      </c>
      <c r="BC5" s="77">
        <f t="shared" si="1"/>
        <v>46262</v>
      </c>
      <c r="BD5" s="77">
        <f t="shared" si="1"/>
        <v>46263</v>
      </c>
      <c r="BE5" s="78">
        <f t="shared" si="1"/>
        <v>46264</v>
      </c>
      <c r="BF5" s="76">
        <f>BE5+1</f>
        <v>46265</v>
      </c>
      <c r="BG5" s="77">
        <f>BF5+1</f>
        <v>46266</v>
      </c>
      <c r="BH5" s="77">
        <f t="shared" ref="BH5:BL5" si="2">BG5+1</f>
        <v>46267</v>
      </c>
      <c r="BI5" s="77">
        <f t="shared" si="2"/>
        <v>46268</v>
      </c>
      <c r="BJ5" s="77">
        <f t="shared" si="2"/>
        <v>46269</v>
      </c>
      <c r="BK5" s="77">
        <f t="shared" si="2"/>
        <v>46270</v>
      </c>
      <c r="BL5" s="78">
        <f t="shared" si="2"/>
        <v>46271</v>
      </c>
    </row>
    <row r="6" spans="1:64" ht="30" customHeight="1" thickBot="1">
      <c r="A6" s="9" t="s">
        <v>8</v>
      </c>
      <c r="B6" s="35" t="s">
        <v>9</v>
      </c>
      <c r="C6" s="36" t="s">
        <v>10</v>
      </c>
      <c r="D6" s="36" t="s">
        <v>11</v>
      </c>
      <c r="E6" s="36" t="s">
        <v>12</v>
      </c>
      <c r="F6" s="36" t="s">
        <v>13</v>
      </c>
      <c r="G6" s="36"/>
      <c r="H6" s="36" t="s">
        <v>14</v>
      </c>
      <c r="I6" s="37" t="str">
        <f t="shared" ref="I6:AN6" si="3">LEFT(TEXT(I5,"aaa"),1)</f>
        <v>月</v>
      </c>
      <c r="J6" s="37" t="str">
        <f t="shared" si="3"/>
        <v>火</v>
      </c>
      <c r="K6" s="37" t="str">
        <f t="shared" si="3"/>
        <v>水</v>
      </c>
      <c r="L6" s="37" t="str">
        <f t="shared" si="3"/>
        <v>木</v>
      </c>
      <c r="M6" s="37" t="str">
        <f t="shared" si="3"/>
        <v>金</v>
      </c>
      <c r="N6" s="37" t="str">
        <f t="shared" si="3"/>
        <v>土</v>
      </c>
      <c r="O6" s="37" t="str">
        <f t="shared" si="3"/>
        <v>日</v>
      </c>
      <c r="P6" s="37" t="str">
        <f t="shared" si="3"/>
        <v>月</v>
      </c>
      <c r="Q6" s="37" t="str">
        <f t="shared" si="3"/>
        <v>火</v>
      </c>
      <c r="R6" s="37" t="str">
        <f t="shared" si="3"/>
        <v>水</v>
      </c>
      <c r="S6" s="37" t="str">
        <f t="shared" si="3"/>
        <v>木</v>
      </c>
      <c r="T6" s="37" t="str">
        <f t="shared" si="3"/>
        <v>金</v>
      </c>
      <c r="U6" s="37" t="str">
        <f t="shared" si="3"/>
        <v>土</v>
      </c>
      <c r="V6" s="37" t="str">
        <f t="shared" si="3"/>
        <v>日</v>
      </c>
      <c r="W6" s="37" t="str">
        <f t="shared" si="3"/>
        <v>月</v>
      </c>
      <c r="X6" s="37" t="str">
        <f t="shared" si="3"/>
        <v>火</v>
      </c>
      <c r="Y6" s="37" t="str">
        <f t="shared" si="3"/>
        <v>水</v>
      </c>
      <c r="Z6" s="37" t="str">
        <f t="shared" si="3"/>
        <v>木</v>
      </c>
      <c r="AA6" s="37" t="str">
        <f t="shared" si="3"/>
        <v>金</v>
      </c>
      <c r="AB6" s="37" t="str">
        <f t="shared" si="3"/>
        <v>土</v>
      </c>
      <c r="AC6" s="37" t="str">
        <f t="shared" si="3"/>
        <v>日</v>
      </c>
      <c r="AD6" s="37" t="str">
        <f t="shared" si="3"/>
        <v>月</v>
      </c>
      <c r="AE6" s="37" t="str">
        <f t="shared" si="3"/>
        <v>火</v>
      </c>
      <c r="AF6" s="37" t="str">
        <f t="shared" si="3"/>
        <v>水</v>
      </c>
      <c r="AG6" s="37" t="str">
        <f t="shared" si="3"/>
        <v>木</v>
      </c>
      <c r="AH6" s="37" t="str">
        <f t="shared" si="3"/>
        <v>金</v>
      </c>
      <c r="AI6" s="37" t="str">
        <f t="shared" si="3"/>
        <v>土</v>
      </c>
      <c r="AJ6" s="37" t="str">
        <f t="shared" si="3"/>
        <v>日</v>
      </c>
      <c r="AK6" s="37" t="str">
        <f t="shared" si="3"/>
        <v>月</v>
      </c>
      <c r="AL6" s="37" t="str">
        <f t="shared" si="3"/>
        <v>火</v>
      </c>
      <c r="AM6" s="37" t="str">
        <f t="shared" si="3"/>
        <v>水</v>
      </c>
      <c r="AN6" s="37" t="str">
        <f t="shared" si="3"/>
        <v>木</v>
      </c>
      <c r="AO6" s="37" t="str">
        <f t="shared" ref="AO6:BL6" si="4">LEFT(TEXT(AO5,"aaa"),1)</f>
        <v>金</v>
      </c>
      <c r="AP6" s="37" t="str">
        <f t="shared" si="4"/>
        <v>土</v>
      </c>
      <c r="AQ6" s="37" t="str">
        <f t="shared" si="4"/>
        <v>日</v>
      </c>
      <c r="AR6" s="37" t="str">
        <f t="shared" si="4"/>
        <v>月</v>
      </c>
      <c r="AS6" s="37" t="str">
        <f t="shared" si="4"/>
        <v>火</v>
      </c>
      <c r="AT6" s="37" t="str">
        <f t="shared" si="4"/>
        <v>水</v>
      </c>
      <c r="AU6" s="37" t="str">
        <f t="shared" si="4"/>
        <v>木</v>
      </c>
      <c r="AV6" s="37" t="str">
        <f t="shared" si="4"/>
        <v>金</v>
      </c>
      <c r="AW6" s="37" t="str">
        <f t="shared" si="4"/>
        <v>土</v>
      </c>
      <c r="AX6" s="37" t="str">
        <f t="shared" si="4"/>
        <v>日</v>
      </c>
      <c r="AY6" s="37" t="str">
        <f t="shared" si="4"/>
        <v>月</v>
      </c>
      <c r="AZ6" s="37" t="str">
        <f t="shared" si="4"/>
        <v>火</v>
      </c>
      <c r="BA6" s="37" t="str">
        <f t="shared" si="4"/>
        <v>水</v>
      </c>
      <c r="BB6" s="37" t="str">
        <f t="shared" si="4"/>
        <v>木</v>
      </c>
      <c r="BC6" s="37" t="str">
        <f t="shared" si="4"/>
        <v>金</v>
      </c>
      <c r="BD6" s="37" t="str">
        <f t="shared" si="4"/>
        <v>土</v>
      </c>
      <c r="BE6" s="37" t="str">
        <f t="shared" si="4"/>
        <v>日</v>
      </c>
      <c r="BF6" s="37" t="str">
        <f t="shared" si="4"/>
        <v>月</v>
      </c>
      <c r="BG6" s="37" t="str">
        <f t="shared" si="4"/>
        <v>火</v>
      </c>
      <c r="BH6" s="37" t="str">
        <f t="shared" si="4"/>
        <v>水</v>
      </c>
      <c r="BI6" s="37" t="str">
        <f t="shared" si="4"/>
        <v>木</v>
      </c>
      <c r="BJ6" s="37" t="str">
        <f t="shared" si="4"/>
        <v>金</v>
      </c>
      <c r="BK6" s="37" t="str">
        <f t="shared" si="4"/>
        <v>土</v>
      </c>
      <c r="BL6" s="37" t="str">
        <f t="shared" si="4"/>
        <v>日</v>
      </c>
    </row>
    <row r="7" spans="1:64" ht="30" hidden="1" customHeight="1" thickBot="1">
      <c r="A7" s="8" t="s">
        <v>15</v>
      </c>
      <c r="C7" s="10"/>
      <c r="E7"/>
      <c r="H7" t="str">
        <f>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s="1" customFormat="1" ht="30" customHeight="1" thickBot="1">
      <c r="A8" s="9" t="s">
        <v>16</v>
      </c>
      <c r="B8" s="38" t="s">
        <v>38</v>
      </c>
      <c r="C8" s="14"/>
      <c r="D8" s="39"/>
      <c r="E8" s="71"/>
      <c r="F8" s="72"/>
      <c r="G8" s="40"/>
      <c r="H8" s="40" t="str">
        <f t="shared" ref="H8:H41" si="5">IF(OR(ISBLANK(タスク_開始),ISBLANK(タスク_終了)),"",タスク_終了-タスク_開始+1)</f>
        <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s="1" customFormat="1" ht="30" customHeight="1" thickBot="1">
      <c r="A9" s="9" t="s">
        <v>17</v>
      </c>
      <c r="B9" s="23" t="s">
        <v>48</v>
      </c>
      <c r="C9" s="15" t="s">
        <v>62</v>
      </c>
      <c r="D9" s="41">
        <v>1</v>
      </c>
      <c r="E9" s="82">
        <f>プロジェクトの開始</f>
        <v>46219</v>
      </c>
      <c r="F9" s="82">
        <v>46229</v>
      </c>
      <c r="G9" s="40"/>
      <c r="H9" s="40">
        <f t="shared" si="5"/>
        <v>11</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s="1" customFormat="1" ht="30" customHeight="1" thickBot="1">
      <c r="A10" s="9" t="s">
        <v>18</v>
      </c>
      <c r="B10" s="23" t="s">
        <v>49</v>
      </c>
      <c r="C10" s="15" t="s">
        <v>63</v>
      </c>
      <c r="D10" s="41">
        <v>0.75</v>
      </c>
      <c r="E10" s="82">
        <v>46230</v>
      </c>
      <c r="F10" s="82">
        <v>46236</v>
      </c>
      <c r="G10" s="40"/>
      <c r="H10" s="40">
        <f t="shared" si="5"/>
        <v>7</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s="1" customFormat="1" ht="30" customHeight="1" thickBot="1">
      <c r="A11" s="8"/>
      <c r="B11" s="23" t="s">
        <v>50</v>
      </c>
      <c r="C11" s="15" t="s">
        <v>62</v>
      </c>
      <c r="D11" s="41">
        <v>0</v>
      </c>
      <c r="E11" s="82">
        <f>F10</f>
        <v>46236</v>
      </c>
      <c r="F11" s="82">
        <v>46242</v>
      </c>
      <c r="G11" s="40"/>
      <c r="H11" s="40">
        <f t="shared" si="5"/>
        <v>7</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s="1" customFormat="1" ht="30" customHeight="1" thickBot="1">
      <c r="A12" s="8"/>
      <c r="B12" s="23" t="s">
        <v>51</v>
      </c>
      <c r="C12" s="15" t="s">
        <v>64</v>
      </c>
      <c r="D12" s="41">
        <v>0</v>
      </c>
      <c r="E12" s="82">
        <v>46235</v>
      </c>
      <c r="F12" s="82">
        <v>46263</v>
      </c>
      <c r="G12" s="40"/>
      <c r="H12" s="40">
        <f t="shared" si="5"/>
        <v>29</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s="1" customFormat="1" ht="30" customHeight="1" thickBot="1">
      <c r="A13" s="8"/>
      <c r="B13" s="81" t="s">
        <v>47</v>
      </c>
      <c r="C13" s="79"/>
      <c r="D13" s="80"/>
      <c r="E13" s="83"/>
      <c r="F13" s="83"/>
      <c r="G13" s="40"/>
      <c r="H13" s="40"/>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s="1" customFormat="1" ht="30" customHeight="1" thickBot="1">
      <c r="A14" s="8"/>
      <c r="B14" s="93" t="s">
        <v>53</v>
      </c>
      <c r="C14" s="94" t="s">
        <v>62</v>
      </c>
      <c r="D14" s="95">
        <v>0</v>
      </c>
      <c r="E14" s="96">
        <v>46243</v>
      </c>
      <c r="F14" s="96">
        <v>46251</v>
      </c>
      <c r="G14" s="40"/>
      <c r="H14" s="40"/>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s="1" customFormat="1" ht="30" customHeight="1" thickBot="1">
      <c r="A15" s="8"/>
      <c r="B15" s="93" t="s">
        <v>54</v>
      </c>
      <c r="C15" s="94" t="s">
        <v>65</v>
      </c>
      <c r="D15" s="95">
        <v>0</v>
      </c>
      <c r="E15" s="96">
        <v>46243</v>
      </c>
      <c r="F15" s="96">
        <v>46258</v>
      </c>
      <c r="G15" s="40"/>
      <c r="H15" s="40"/>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s="1" customFormat="1" ht="30" customHeight="1" thickBot="1">
      <c r="A16" s="8"/>
      <c r="B16" s="93" t="s">
        <v>55</v>
      </c>
      <c r="C16" s="94" t="s">
        <v>62</v>
      </c>
      <c r="D16" s="95">
        <v>0</v>
      </c>
      <c r="E16" s="96">
        <v>46258</v>
      </c>
      <c r="F16" s="96">
        <v>46261</v>
      </c>
      <c r="G16" s="40"/>
      <c r="H16" s="40"/>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s="1" customFormat="1" ht="30" customHeight="1" thickBot="1">
      <c r="A17" s="8"/>
      <c r="B17" s="93" t="s">
        <v>56</v>
      </c>
      <c r="C17" s="94" t="s">
        <v>64</v>
      </c>
      <c r="D17" s="95">
        <v>0</v>
      </c>
      <c r="E17" s="96">
        <v>46261</v>
      </c>
      <c r="F17" s="96">
        <v>46263</v>
      </c>
      <c r="G17" s="40"/>
      <c r="H17" s="40"/>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s="1" customFormat="1" ht="30" customHeight="1" thickBot="1">
      <c r="A18" s="8"/>
      <c r="B18" s="93" t="s">
        <v>57</v>
      </c>
      <c r="C18" s="94" t="s">
        <v>64</v>
      </c>
      <c r="D18" s="95">
        <v>0</v>
      </c>
      <c r="E18" s="96">
        <v>46264</v>
      </c>
      <c r="F18" s="96">
        <v>46266</v>
      </c>
      <c r="G18" s="40"/>
      <c r="H18" s="40"/>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s="1" customFormat="1" ht="30" customHeight="1" thickBot="1">
      <c r="A19" s="9" t="s">
        <v>19</v>
      </c>
      <c r="B19" s="42" t="s">
        <v>40</v>
      </c>
      <c r="C19" s="16"/>
      <c r="D19" s="43"/>
      <c r="E19" s="84"/>
      <c r="F19" s="85"/>
      <c r="G19" s="40"/>
      <c r="H19" s="40" t="str">
        <f t="shared" si="5"/>
        <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s="1" customFormat="1" ht="30" customHeight="1" thickBot="1">
      <c r="A20" s="9"/>
      <c r="B20" s="24" t="s">
        <v>60</v>
      </c>
      <c r="C20" s="17" t="s">
        <v>62</v>
      </c>
      <c r="D20" s="44">
        <v>0</v>
      </c>
      <c r="E20" s="86">
        <v>46267</v>
      </c>
      <c r="F20" s="86">
        <v>46270</v>
      </c>
      <c r="G20" s="40"/>
      <c r="H20" s="40">
        <f t="shared" si="5"/>
        <v>4</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s="1" customFormat="1" ht="30" customHeight="1" thickBot="1">
      <c r="A21" s="8"/>
      <c r="B21" s="24" t="s">
        <v>58</v>
      </c>
      <c r="C21" s="17" t="s">
        <v>62</v>
      </c>
      <c r="D21" s="44">
        <v>0</v>
      </c>
      <c r="E21" s="86">
        <v>46271</v>
      </c>
      <c r="F21" s="86">
        <v>46277</v>
      </c>
      <c r="G21" s="40"/>
      <c r="H21" s="40">
        <f t="shared" si="5"/>
        <v>7</v>
      </c>
      <c r="I21" s="5"/>
      <c r="J21" s="5"/>
      <c r="K21" s="5"/>
      <c r="L21" s="5"/>
      <c r="M21" s="5"/>
      <c r="N21" s="5"/>
      <c r="O21" s="5"/>
      <c r="P21" s="5"/>
      <c r="Q21" s="5"/>
      <c r="R21" s="5"/>
      <c r="S21" s="5"/>
      <c r="T21" s="5"/>
      <c r="U21" s="6"/>
      <c r="V21" s="6"/>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s="1" customFormat="1" ht="30" customHeight="1" thickBot="1">
      <c r="A22" s="8"/>
      <c r="B22" s="24" t="s">
        <v>59</v>
      </c>
      <c r="C22" s="17" t="s">
        <v>62</v>
      </c>
      <c r="D22" s="44">
        <v>0</v>
      </c>
      <c r="E22" s="86">
        <v>46278</v>
      </c>
      <c r="F22" s="86">
        <v>46282</v>
      </c>
      <c r="G22" s="40"/>
      <c r="H22" s="40">
        <f t="shared" si="5"/>
        <v>5</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s="1" customFormat="1" ht="30" customHeight="1" thickBot="1">
      <c r="A23" s="8"/>
      <c r="B23" s="24" t="s">
        <v>61</v>
      </c>
      <c r="C23" s="17" t="s">
        <v>62</v>
      </c>
      <c r="D23" s="44">
        <v>0</v>
      </c>
      <c r="E23" s="86">
        <v>46283</v>
      </c>
      <c r="F23" s="86">
        <v>46286</v>
      </c>
      <c r="G23" s="40"/>
      <c r="H23" s="40">
        <f t="shared" si="5"/>
        <v>4</v>
      </c>
      <c r="I23" s="5"/>
      <c r="J23" s="5"/>
      <c r="K23" s="5"/>
      <c r="L23" s="5"/>
      <c r="M23" s="5"/>
      <c r="N23" s="5"/>
      <c r="O23" s="5"/>
      <c r="P23" s="5"/>
      <c r="Q23" s="5"/>
      <c r="R23" s="5"/>
      <c r="S23" s="5"/>
      <c r="T23" s="5"/>
      <c r="U23" s="5"/>
      <c r="V23" s="5"/>
      <c r="W23" s="5"/>
      <c r="X23" s="5"/>
      <c r="Y23" s="6"/>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s="1" customFormat="1" ht="30" customHeight="1" thickBot="1">
      <c r="A24" s="8"/>
      <c r="B24" s="24" t="s">
        <v>70</v>
      </c>
      <c r="C24" s="17" t="s">
        <v>64</v>
      </c>
      <c r="D24" s="44">
        <v>0</v>
      </c>
      <c r="E24" s="86">
        <v>46272</v>
      </c>
      <c r="F24" s="86">
        <v>46286</v>
      </c>
      <c r="G24" s="40"/>
      <c r="H24" s="40"/>
      <c r="I24" s="5"/>
      <c r="J24" s="5"/>
      <c r="K24" s="5"/>
      <c r="L24" s="5"/>
      <c r="M24" s="5"/>
      <c r="N24" s="5"/>
      <c r="O24" s="5"/>
      <c r="P24" s="5"/>
      <c r="Q24" s="5"/>
      <c r="R24" s="5"/>
      <c r="S24" s="5"/>
      <c r="T24" s="5"/>
      <c r="U24" s="5"/>
      <c r="V24" s="5"/>
      <c r="W24" s="5"/>
      <c r="X24" s="5"/>
      <c r="Y24" s="6"/>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s="1" customFormat="1" ht="30" customHeight="1" thickBot="1">
      <c r="A25" s="8"/>
      <c r="B25" s="24" t="s">
        <v>74</v>
      </c>
      <c r="C25" s="17" t="s">
        <v>62</v>
      </c>
      <c r="D25" s="44">
        <v>0</v>
      </c>
      <c r="E25" s="86">
        <v>46287</v>
      </c>
      <c r="F25" s="86">
        <v>46290</v>
      </c>
      <c r="G25" s="40"/>
      <c r="H25" s="40"/>
      <c r="I25" s="5"/>
      <c r="J25" s="5"/>
      <c r="K25" s="5"/>
      <c r="L25" s="5"/>
      <c r="M25" s="5"/>
      <c r="N25" s="5"/>
      <c r="O25" s="5"/>
      <c r="P25" s="5"/>
      <c r="Q25" s="5"/>
      <c r="R25" s="5"/>
      <c r="S25" s="5"/>
      <c r="T25" s="5"/>
      <c r="U25" s="5"/>
      <c r="V25" s="5"/>
      <c r="W25" s="5"/>
      <c r="X25" s="5"/>
      <c r="Y25" s="6"/>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s="1" customFormat="1" ht="30" customHeight="1" thickBot="1">
      <c r="A26" s="8" t="s">
        <v>20</v>
      </c>
      <c r="B26" s="45" t="s">
        <v>41</v>
      </c>
      <c r="C26" s="18"/>
      <c r="D26" s="46"/>
      <c r="E26" s="87"/>
      <c r="F26" s="88"/>
      <c r="G26" s="40"/>
      <c r="H26" s="40" t="str">
        <f t="shared" si="5"/>
        <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s="1" customFormat="1" ht="30" customHeight="1" thickBot="1">
      <c r="A27" s="8"/>
      <c r="B27" s="25" t="s">
        <v>67</v>
      </c>
      <c r="C27" s="19" t="s">
        <v>71</v>
      </c>
      <c r="D27" s="47">
        <v>0</v>
      </c>
      <c r="E27" s="89">
        <v>46287</v>
      </c>
      <c r="F27" s="89">
        <v>46292</v>
      </c>
      <c r="G27" s="40"/>
      <c r="H27" s="40">
        <f t="shared" si="5"/>
        <v>6</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s="1" customFormat="1" ht="30" customHeight="1" thickBot="1">
      <c r="A28" s="8"/>
      <c r="B28" s="25" t="s">
        <v>66</v>
      </c>
      <c r="C28" s="19" t="s">
        <v>72</v>
      </c>
      <c r="D28" s="47">
        <v>0</v>
      </c>
      <c r="E28" s="89">
        <v>46293</v>
      </c>
      <c r="F28" s="89">
        <v>46298</v>
      </c>
      <c r="G28" s="40"/>
      <c r="H28" s="40">
        <f t="shared" si="5"/>
        <v>6</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s="1" customFormat="1" ht="30" customHeight="1" thickBot="1">
      <c r="A29" s="8"/>
      <c r="B29" s="25" t="s">
        <v>68</v>
      </c>
      <c r="C29" s="19" t="s">
        <v>73</v>
      </c>
      <c r="D29" s="47">
        <v>0</v>
      </c>
      <c r="E29" s="89">
        <v>46299</v>
      </c>
      <c r="F29" s="89">
        <v>46302</v>
      </c>
      <c r="G29" s="40"/>
      <c r="H29" s="40">
        <f t="shared" si="5"/>
        <v>4</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s="1" customFormat="1" ht="30" customHeight="1" thickBot="1">
      <c r="A30" s="8" t="s">
        <v>20</v>
      </c>
      <c r="B30" s="48" t="s">
        <v>42</v>
      </c>
      <c r="C30" s="20"/>
      <c r="D30" s="49"/>
      <c r="E30" s="90"/>
      <c r="F30" s="91"/>
      <c r="G30" s="40"/>
      <c r="H30" s="40" t="str">
        <f t="shared" si="5"/>
        <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s="1" customFormat="1" ht="30" customHeight="1" thickBot="1">
      <c r="A31" s="8"/>
      <c r="B31" s="26" t="s">
        <v>43</v>
      </c>
      <c r="C31" s="21" t="s">
        <v>62</v>
      </c>
      <c r="D31" s="50">
        <v>0</v>
      </c>
      <c r="E31" s="92">
        <v>46303</v>
      </c>
      <c r="F31" s="92">
        <v>46315</v>
      </c>
      <c r="G31" s="40"/>
      <c r="H31" s="40">
        <f t="shared" si="5"/>
        <v>13</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s="1" customFormat="1" ht="30" customHeight="1" thickBot="1">
      <c r="A32" s="8"/>
      <c r="B32" s="26" t="s">
        <v>44</v>
      </c>
      <c r="C32" s="21" t="s">
        <v>62</v>
      </c>
      <c r="D32" s="50">
        <v>0</v>
      </c>
      <c r="E32" s="92">
        <v>46303</v>
      </c>
      <c r="F32" s="92">
        <v>46315</v>
      </c>
      <c r="G32" s="40"/>
      <c r="H32" s="40">
        <f t="shared" si="5"/>
        <v>13</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s="1" customFormat="1" ht="30" customHeight="1" thickBot="1">
      <c r="A33" s="8"/>
      <c r="B33" s="26" t="s">
        <v>45</v>
      </c>
      <c r="C33" s="21" t="s">
        <v>64</v>
      </c>
      <c r="D33" s="50">
        <v>0</v>
      </c>
      <c r="E33" s="92">
        <v>46275</v>
      </c>
      <c r="F33" s="92">
        <v>46315</v>
      </c>
      <c r="G33" s="40"/>
      <c r="H33" s="40">
        <f t="shared" si="5"/>
        <v>41</v>
      </c>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row>
    <row r="34" spans="1:64" s="1" customFormat="1" ht="30" customHeight="1" thickBot="1">
      <c r="A34" s="8"/>
      <c r="B34" s="26" t="s">
        <v>46</v>
      </c>
      <c r="C34" s="21" t="s">
        <v>73</v>
      </c>
      <c r="D34" s="50">
        <v>0</v>
      </c>
      <c r="E34" s="92">
        <v>46316</v>
      </c>
      <c r="F34" s="92">
        <v>46331</v>
      </c>
      <c r="G34" s="40"/>
      <c r="H34" s="40">
        <f t="shared" si="5"/>
        <v>16</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row>
    <row r="35" spans="1:64" s="1" customFormat="1" ht="30" customHeight="1" thickBot="1">
      <c r="A35" s="8" t="s">
        <v>21</v>
      </c>
      <c r="B35" s="27"/>
      <c r="C35" s="22"/>
      <c r="D35" s="51"/>
      <c r="E35" s="73"/>
      <c r="F35" s="73"/>
      <c r="G35" s="40"/>
      <c r="H35" s="40" t="str">
        <f t="shared" si="5"/>
        <v/>
      </c>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row>
    <row r="36" spans="1:64" s="1" customFormat="1" ht="30" customHeight="1" thickBot="1">
      <c r="A36" s="8"/>
      <c r="B36" s="27"/>
      <c r="C36" s="22"/>
      <c r="D36" s="51"/>
      <c r="E36" s="73"/>
      <c r="F36" s="73"/>
      <c r="G36" s="40"/>
      <c r="H36" s="40"/>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row>
    <row r="37" spans="1:64" s="1" customFormat="1" ht="30" customHeight="1" thickBot="1">
      <c r="A37" s="8"/>
      <c r="B37" s="27"/>
      <c r="C37" s="22"/>
      <c r="D37" s="51"/>
      <c r="E37" s="73"/>
      <c r="F37" s="73"/>
      <c r="G37" s="40"/>
      <c r="H37" s="40"/>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row>
    <row r="38" spans="1:64" s="1" customFormat="1" ht="30" customHeight="1" thickBot="1">
      <c r="A38" s="8"/>
      <c r="B38" s="27"/>
      <c r="C38" s="22"/>
      <c r="D38" s="51"/>
      <c r="E38" s="73"/>
      <c r="F38" s="73"/>
      <c r="G38" s="40"/>
      <c r="H38" s="40"/>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row>
    <row r="39" spans="1:64" s="1" customFormat="1" ht="30" customHeight="1" thickBot="1">
      <c r="A39" s="8"/>
      <c r="B39" s="27"/>
      <c r="C39" s="22"/>
      <c r="D39" s="51"/>
      <c r="E39" s="73"/>
      <c r="F39" s="73"/>
      <c r="G39" s="40"/>
      <c r="H39" s="40"/>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row>
    <row r="40" spans="1:64" s="1" customFormat="1" ht="30" customHeight="1" thickBot="1">
      <c r="A40" s="8"/>
      <c r="B40" s="27"/>
      <c r="C40" s="22"/>
      <c r="D40" s="51"/>
      <c r="E40" s="73"/>
      <c r="F40" s="73"/>
      <c r="G40" s="40"/>
      <c r="H40" s="40"/>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row>
    <row r="41" spans="1:64" s="1" customFormat="1" ht="30" customHeight="1" thickBot="1">
      <c r="A41" s="9" t="s">
        <v>22</v>
      </c>
      <c r="B41" s="52" t="s">
        <v>39</v>
      </c>
      <c r="C41" s="53"/>
      <c r="D41" s="54"/>
      <c r="E41" s="74"/>
      <c r="F41" s="75"/>
      <c r="G41" s="55"/>
      <c r="H41" s="55" t="str">
        <f t="shared" si="5"/>
        <v/>
      </c>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row>
    <row r="42" spans="1:64" ht="30" customHeight="1">
      <c r="G42" s="3"/>
    </row>
    <row r="43" spans="1:64" ht="30" customHeight="1">
      <c r="C43" s="56"/>
      <c r="F43" s="57"/>
    </row>
    <row r="44" spans="1:64" ht="30" customHeight="1">
      <c r="C44" s="58"/>
    </row>
  </sheetData>
  <mergeCells count="11">
    <mergeCell ref="C3:D3"/>
    <mergeCell ref="C4:D4"/>
    <mergeCell ref="AK4:AQ4"/>
    <mergeCell ref="AR4:AX4"/>
    <mergeCell ref="AY4:BE4"/>
    <mergeCell ref="BF4:BL4"/>
    <mergeCell ref="E3:F3"/>
    <mergeCell ref="I4:O4"/>
    <mergeCell ref="P4:V4"/>
    <mergeCell ref="W4:AC4"/>
    <mergeCell ref="AD4:AJ4"/>
  </mergeCells>
  <phoneticPr fontId="29"/>
  <conditionalFormatting sqref="D7:D41">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1">
    <cfRule type="expression" dxfId="2" priority="33">
      <formula>AND(TODAY()&gt;=I$5,TODAY()&lt;J$5)</formula>
    </cfRule>
  </conditionalFormatting>
  <conditionalFormatting sqref="I7:BL41">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40" max="16383" man="1"/>
  </rowBreaks>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election activeCell="A10" sqref="A10"/>
    </sheetView>
  </sheetViews>
  <sheetFormatPr baseColWidth="10" defaultColWidth="9" defaultRowHeight="15"/>
  <cols>
    <col min="1" max="1" width="87" style="59" customWidth="1"/>
    <col min="2" max="16384" width="9" style="60"/>
  </cols>
  <sheetData>
    <row r="1" spans="1:2" ht="46.5" customHeight="1"/>
    <row r="2" spans="1:2" s="62" customFormat="1" ht="18">
      <c r="A2" s="61" t="s">
        <v>1</v>
      </c>
      <c r="B2" s="61"/>
    </row>
    <row r="3" spans="1:2" s="65" customFormat="1" ht="27" customHeight="1">
      <c r="A3" s="63" t="s">
        <v>3</v>
      </c>
      <c r="B3" s="64"/>
    </row>
    <row r="4" spans="1:2" s="67" customFormat="1" ht="27">
      <c r="A4" s="66" t="s">
        <v>23</v>
      </c>
    </row>
    <row r="5" spans="1:2" ht="61.5" customHeight="1">
      <c r="A5" s="68" t="s">
        <v>24</v>
      </c>
    </row>
    <row r="6" spans="1:2" ht="26.25" customHeight="1">
      <c r="A6" s="66" t="s">
        <v>25</v>
      </c>
    </row>
    <row r="7" spans="1:2" s="59" customFormat="1" ht="198" customHeight="1">
      <c r="A7" s="69" t="s">
        <v>26</v>
      </c>
    </row>
    <row r="8" spans="1:2" s="67" customFormat="1" ht="27">
      <c r="A8" s="66" t="s">
        <v>27</v>
      </c>
    </row>
    <row r="9" spans="1:2" ht="51">
      <c r="A9" s="68" t="s">
        <v>28</v>
      </c>
    </row>
    <row r="10" spans="1:2" s="59" customFormat="1" ht="28" customHeight="1">
      <c r="A10" s="70" t="s">
        <v>69</v>
      </c>
    </row>
    <row r="11" spans="1:2" s="67" customFormat="1" ht="27">
      <c r="A11" s="66" t="s">
        <v>29</v>
      </c>
    </row>
    <row r="12" spans="1:2" ht="34">
      <c r="A12" s="68" t="s">
        <v>30</v>
      </c>
    </row>
    <row r="13" spans="1:2" s="59" customFormat="1" ht="28" customHeight="1">
      <c r="A13" s="70" t="s">
        <v>31</v>
      </c>
    </row>
    <row r="14" spans="1:2" s="67" customFormat="1" ht="27">
      <c r="A14" s="66" t="s">
        <v>32</v>
      </c>
    </row>
    <row r="15" spans="1:2" ht="64.5" customHeight="1">
      <c r="A15" s="68" t="s">
        <v>33</v>
      </c>
    </row>
    <row r="16" spans="1:2" ht="51">
      <c r="A16" s="68" t="s">
        <v>34</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2026-08-02T16:58:01Z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